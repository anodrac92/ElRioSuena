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pez\Downloads\"/>
    </mc:Choice>
  </mc:AlternateContent>
  <xr:revisionPtr revIDLastSave="0" documentId="13_ncr:1_{7D168E31-AC4D-4118-9347-6AF26BF0A9C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uadalajara" sheetId="1" r:id="rId1"/>
    <sheet name="Zapopan" sheetId="2" r:id="rId2"/>
    <sheet name="León" sheetId="3" r:id="rId3"/>
    <sheet name="Querétaro" sheetId="4" r:id="rId4"/>
    <sheet name="Aguascalien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5" l="1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22" i="5" s="1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2" i="4" s="1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2" i="3" s="1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22" i="2" s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2" i="1" s="1"/>
</calcChain>
</file>

<file path=xl/sharedStrings.xml><?xml version="1.0" encoding="utf-8"?>
<sst xmlns="http://schemas.openxmlformats.org/spreadsheetml/2006/main" count="440" uniqueCount="65">
  <si>
    <t>Código/SKU</t>
  </si>
  <si>
    <t>Descripción del Producto</t>
  </si>
  <si>
    <t>Categoría</t>
  </si>
  <si>
    <t>Stock Actual</t>
  </si>
  <si>
    <t>Unidad de Medida</t>
  </si>
  <si>
    <t>Precio Unitario</t>
  </si>
  <si>
    <t>Valor Total</t>
  </si>
  <si>
    <t>SKUP01</t>
  </si>
  <si>
    <t>Cloro Concentrado 1L</t>
  </si>
  <si>
    <t>Químicos</t>
  </si>
  <si>
    <t>1L</t>
  </si>
  <si>
    <t>SKUP02</t>
  </si>
  <si>
    <t>Detergente Líquido Multiusos 5L</t>
  </si>
  <si>
    <t>5L</t>
  </si>
  <si>
    <t>SKUP03</t>
  </si>
  <si>
    <t>Limpiador Aromático de Pisos 1L</t>
  </si>
  <si>
    <t>SKUP04</t>
  </si>
  <si>
    <t>Desinfectante en Aerosol 400ml</t>
  </si>
  <si>
    <t>Pieza</t>
  </si>
  <si>
    <t>SKUP05</t>
  </si>
  <si>
    <t>Jabón Líquido para Manos 5L</t>
  </si>
  <si>
    <t>Cuidado Personal</t>
  </si>
  <si>
    <t>SKUP06</t>
  </si>
  <si>
    <t>Gel Antibacterial 70% Alcohol 1L</t>
  </si>
  <si>
    <t>SKUP07</t>
  </si>
  <si>
    <t>Papel Higiénico Institucional (Rollo 300m)</t>
  </si>
  <si>
    <t>Papelería e Higiene</t>
  </si>
  <si>
    <t>Paquete c/6</t>
  </si>
  <si>
    <t>SKUP08</t>
  </si>
  <si>
    <t>Toalla Interdoblada para Manos</t>
  </si>
  <si>
    <t>Caja c/20 paquetes</t>
  </si>
  <si>
    <t>SKUP09</t>
  </si>
  <si>
    <t>Servilleta de Papel Blanca</t>
  </si>
  <si>
    <t>Paquete c/500</t>
  </si>
  <si>
    <t>SKUP10</t>
  </si>
  <si>
    <t>Escoba de Mijo de Uso Rudo</t>
  </si>
  <si>
    <t>Utensilios</t>
  </si>
  <si>
    <t>SKUP11</t>
  </si>
  <si>
    <t>Trapeador de Algodón 500g</t>
  </si>
  <si>
    <t>SKUP12</t>
  </si>
  <si>
    <t>Cubeta de Plástico 12L con Exprimidor</t>
  </si>
  <si>
    <t>SKUP13</t>
  </si>
  <si>
    <t>Fibra Verde Multiusos</t>
  </si>
  <si>
    <t>Paquete c/12</t>
  </si>
  <si>
    <t>SKUP14</t>
  </si>
  <si>
    <t>Esponja Verde/Amarilla</t>
  </si>
  <si>
    <t>SKUP15</t>
  </si>
  <si>
    <t>Guantes de Látex Talla M</t>
  </si>
  <si>
    <t>Protección</t>
  </si>
  <si>
    <t>Par</t>
  </si>
  <si>
    <t>SKUP16</t>
  </si>
  <si>
    <t>Guantes de Nitrilo Talla L</t>
  </si>
  <si>
    <t>Caja c/100</t>
  </si>
  <si>
    <t>SKUP17</t>
  </si>
  <si>
    <t>Bolsa para Basura Negra 90x120cm</t>
  </si>
  <si>
    <t>Desechables</t>
  </si>
  <si>
    <t>Paquete c/10</t>
  </si>
  <si>
    <t>SKUP18</t>
  </si>
  <si>
    <t>Bolsa para Basura Camiseta</t>
  </si>
  <si>
    <t>Kilo</t>
  </si>
  <si>
    <t>SKUP19</t>
  </si>
  <si>
    <t>Atomizador de Plástico 1L</t>
  </si>
  <si>
    <t>SKUP20</t>
  </si>
  <si>
    <t>Jalador de Agua para Piso 50cm</t>
  </si>
  <si>
    <t>Total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</si>
</sst>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81D16"/>
      <name val="Roboto"/>
    </font>
    <font>
      <b/>
      <sz val="10"/>
      <color rgb="FF181D16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15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3A6939"/>
          <bgColor rgb="FF3A693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3A6939"/>
          <bgColor rgb="FF3A693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3A6939"/>
          <bgColor rgb="FF3A693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3A6939"/>
          <bgColor rgb="FF3A693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3A6939"/>
          <bgColor rgb="FF3A6939"/>
        </patternFill>
      </fill>
    </dxf>
  </dxfs>
  <tableStyles count="5">
    <tableStyle name="Guadalajara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Zapopan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León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Querétaro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Aguascalientes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G21">
  <tableColumns count="7">
    <tableColumn id="1" xr3:uid="{00000000-0010-0000-0000-000001000000}" name="Código/SKU"/>
    <tableColumn id="2" xr3:uid="{00000000-0010-0000-0000-000002000000}" name="Descripción del Producto"/>
    <tableColumn id="3" xr3:uid="{00000000-0010-0000-0000-000003000000}" name="Categoría"/>
    <tableColumn id="4" xr3:uid="{00000000-0010-0000-0000-000004000000}" name="Stock Actual"/>
    <tableColumn id="5" xr3:uid="{00000000-0010-0000-0000-000005000000}" name="Unidad de Medida"/>
    <tableColumn id="6" xr3:uid="{00000000-0010-0000-0000-000006000000}" name="Precio Unitario"/>
    <tableColumn id="7" xr3:uid="{00000000-0010-0000-0000-000007000000}" name="Valor Total"/>
  </tableColumns>
  <tableStyleInfo name="Guadalajar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3" displayName="Table_3" ref="A1:G21">
  <tableColumns count="7">
    <tableColumn id="1" xr3:uid="{00000000-0010-0000-0100-000001000000}" name="Código/SKU"/>
    <tableColumn id="2" xr3:uid="{00000000-0010-0000-0100-000002000000}" name="Descripción del Producto"/>
    <tableColumn id="3" xr3:uid="{00000000-0010-0000-0100-000003000000}" name="Categoría"/>
    <tableColumn id="4" xr3:uid="{00000000-0010-0000-0100-000004000000}" name="Stock Actual"/>
    <tableColumn id="5" xr3:uid="{00000000-0010-0000-0100-000005000000}" name="Unidad de Medida"/>
    <tableColumn id="6" xr3:uid="{00000000-0010-0000-0100-000006000000}" name="Precio Unitario"/>
    <tableColumn id="7" xr3:uid="{00000000-0010-0000-0100-000007000000}" name="Valor Total"/>
  </tableColumns>
  <tableStyleInfo name="Zapop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_1" displayName="Table_1" ref="A1:G21">
  <tableColumns count="7">
    <tableColumn id="1" xr3:uid="{00000000-0010-0000-0200-000001000000}" name="Código/SKU"/>
    <tableColumn id="2" xr3:uid="{00000000-0010-0000-0200-000002000000}" name="Descripción del Producto"/>
    <tableColumn id="3" xr3:uid="{00000000-0010-0000-0200-000003000000}" name="Categoría"/>
    <tableColumn id="4" xr3:uid="{00000000-0010-0000-0200-000004000000}" name="Stock Actual"/>
    <tableColumn id="5" xr3:uid="{00000000-0010-0000-0200-000005000000}" name="Unidad de Medida"/>
    <tableColumn id="6" xr3:uid="{00000000-0010-0000-0200-000006000000}" name="Precio Unitario"/>
    <tableColumn id="7" xr3:uid="{00000000-0010-0000-0200-000007000000}" name="Valor Total"/>
  </tableColumns>
  <tableStyleInfo name="Leó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G21">
  <tableColumns count="7">
    <tableColumn id="1" xr3:uid="{00000000-0010-0000-0300-000001000000}" name="Código/SKU"/>
    <tableColumn id="2" xr3:uid="{00000000-0010-0000-0300-000002000000}" name="Descripción del Producto"/>
    <tableColumn id="3" xr3:uid="{00000000-0010-0000-0300-000003000000}" name="Categoría"/>
    <tableColumn id="4" xr3:uid="{00000000-0010-0000-0300-000004000000}" name="Stock Actual"/>
    <tableColumn id="5" xr3:uid="{00000000-0010-0000-0300-000005000000}" name="Unidad de Medida"/>
    <tableColumn id="6" xr3:uid="{00000000-0010-0000-0300-000006000000}" name="Precio Unitario"/>
    <tableColumn id="7" xr3:uid="{00000000-0010-0000-0300-000007000000}" name="Valor Total"/>
  </tableColumns>
  <tableStyleInfo name="Querétar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G21">
  <tableColumns count="7">
    <tableColumn id="1" xr3:uid="{00000000-0010-0000-0400-000001000000}" name="Código/SKU"/>
    <tableColumn id="2" xr3:uid="{00000000-0010-0000-0400-000002000000}" name="Descripción del Producto"/>
    <tableColumn id="3" xr3:uid="{00000000-0010-0000-0400-000003000000}" name="Categoría"/>
    <tableColumn id="4" xr3:uid="{00000000-0010-0000-0400-000004000000}" name="Stock Actual"/>
    <tableColumn id="5" xr3:uid="{00000000-0010-0000-0400-000005000000}" name="Unidad de Medida"/>
    <tableColumn id="6" xr3:uid="{00000000-0010-0000-0400-000006000000}" name="Precio Unitario"/>
    <tableColumn id="7" xr3:uid="{00000000-0010-0000-0400-000007000000}" name="Valor Total"/>
  </tableColumns>
  <tableStyleInfo name="Aguascalien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22"/>
  <sheetViews>
    <sheetView workbookViewId="0"/>
  </sheetViews>
  <sheetFormatPr baseColWidth="10" defaultColWidth="12.5703125" defaultRowHeight="15.75" customHeight="1" x14ac:dyDescent="0.2"/>
  <cols>
    <col min="1" max="1" width="10.7109375" customWidth="1"/>
    <col min="2" max="2" width="31.28515625" customWidth="1"/>
    <col min="3" max="3" width="20" customWidth="1"/>
    <col min="4" max="4" width="16.140625" customWidth="1"/>
    <col min="5" max="5" width="19.7109375" customWidth="1"/>
    <col min="6" max="6" width="17" customWidth="1"/>
    <col min="7" max="7" width="18.140625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120</v>
      </c>
      <c r="E2" s="2" t="s">
        <v>10</v>
      </c>
      <c r="F2" s="3">
        <v>25.5</v>
      </c>
      <c r="G2" s="3">
        <f t="shared" ref="G2:G21" si="0">D2*F2</f>
        <v>3060</v>
      </c>
    </row>
    <row r="3" spans="1:7" x14ac:dyDescent="0.2">
      <c r="A3" s="2" t="s">
        <v>11</v>
      </c>
      <c r="B3" s="2" t="s">
        <v>12</v>
      </c>
      <c r="C3" s="2" t="s">
        <v>9</v>
      </c>
      <c r="D3" s="2">
        <v>45</v>
      </c>
      <c r="E3" s="2" t="s">
        <v>13</v>
      </c>
      <c r="F3" s="3">
        <v>150</v>
      </c>
      <c r="G3" s="3">
        <f t="shared" si="0"/>
        <v>6750</v>
      </c>
    </row>
    <row r="4" spans="1:7" x14ac:dyDescent="0.2">
      <c r="A4" s="2" t="s">
        <v>14</v>
      </c>
      <c r="B4" s="2" t="s">
        <v>15</v>
      </c>
      <c r="C4" s="2" t="s">
        <v>9</v>
      </c>
      <c r="D4" s="2">
        <v>80</v>
      </c>
      <c r="E4" s="2" t="s">
        <v>10</v>
      </c>
      <c r="F4" s="3">
        <v>35</v>
      </c>
      <c r="G4" s="3">
        <f t="shared" si="0"/>
        <v>2800</v>
      </c>
    </row>
    <row r="5" spans="1:7" x14ac:dyDescent="0.2">
      <c r="A5" s="2" t="s">
        <v>16</v>
      </c>
      <c r="B5" s="2" t="s">
        <v>17</v>
      </c>
      <c r="C5" s="2" t="s">
        <v>9</v>
      </c>
      <c r="D5" s="2">
        <v>60</v>
      </c>
      <c r="E5" s="2" t="s">
        <v>18</v>
      </c>
      <c r="F5" s="3">
        <v>85</v>
      </c>
      <c r="G5" s="3">
        <f t="shared" si="0"/>
        <v>5100</v>
      </c>
    </row>
    <row r="6" spans="1:7" x14ac:dyDescent="0.2">
      <c r="A6" s="2" t="s">
        <v>19</v>
      </c>
      <c r="B6" s="2" t="s">
        <v>20</v>
      </c>
      <c r="C6" s="2" t="s">
        <v>21</v>
      </c>
      <c r="D6" s="2">
        <v>30</v>
      </c>
      <c r="E6" s="2" t="s">
        <v>13</v>
      </c>
      <c r="F6" s="3">
        <v>200</v>
      </c>
      <c r="G6" s="3">
        <f t="shared" si="0"/>
        <v>6000</v>
      </c>
    </row>
    <row r="7" spans="1:7" x14ac:dyDescent="0.2">
      <c r="A7" s="2" t="s">
        <v>22</v>
      </c>
      <c r="B7" s="2" t="s">
        <v>23</v>
      </c>
      <c r="C7" s="2" t="s">
        <v>21</v>
      </c>
      <c r="D7" s="2">
        <v>50</v>
      </c>
      <c r="E7" s="2" t="s">
        <v>10</v>
      </c>
      <c r="F7" s="3">
        <v>95</v>
      </c>
      <c r="G7" s="3">
        <f t="shared" si="0"/>
        <v>4750</v>
      </c>
    </row>
    <row r="8" spans="1:7" x14ac:dyDescent="0.2">
      <c r="A8" s="2" t="s">
        <v>24</v>
      </c>
      <c r="B8" s="2" t="s">
        <v>25</v>
      </c>
      <c r="C8" s="2" t="s">
        <v>26</v>
      </c>
      <c r="D8" s="2">
        <v>100</v>
      </c>
      <c r="E8" s="2" t="s">
        <v>27</v>
      </c>
      <c r="F8" s="3">
        <v>250</v>
      </c>
      <c r="G8" s="3">
        <f t="shared" si="0"/>
        <v>25000</v>
      </c>
    </row>
    <row r="9" spans="1:7" x14ac:dyDescent="0.2">
      <c r="A9" s="2" t="s">
        <v>28</v>
      </c>
      <c r="B9" s="2" t="s">
        <v>29</v>
      </c>
      <c r="C9" s="2" t="s">
        <v>26</v>
      </c>
      <c r="D9" s="2">
        <v>40</v>
      </c>
      <c r="E9" s="2" t="s">
        <v>30</v>
      </c>
      <c r="F9" s="3">
        <v>350</v>
      </c>
      <c r="G9" s="3">
        <f t="shared" si="0"/>
        <v>14000</v>
      </c>
    </row>
    <row r="10" spans="1:7" x14ac:dyDescent="0.2">
      <c r="A10" s="2" t="s">
        <v>31</v>
      </c>
      <c r="B10" s="2" t="s">
        <v>32</v>
      </c>
      <c r="C10" s="2" t="s">
        <v>26</v>
      </c>
      <c r="D10" s="2">
        <v>70</v>
      </c>
      <c r="E10" s="2" t="s">
        <v>33</v>
      </c>
      <c r="F10" s="3">
        <v>45</v>
      </c>
      <c r="G10" s="3">
        <f t="shared" si="0"/>
        <v>3150</v>
      </c>
    </row>
    <row r="11" spans="1:7" x14ac:dyDescent="0.2">
      <c r="A11" s="2" t="s">
        <v>34</v>
      </c>
      <c r="B11" s="2" t="s">
        <v>35</v>
      </c>
      <c r="C11" s="2" t="s">
        <v>36</v>
      </c>
      <c r="D11" s="2">
        <v>25</v>
      </c>
      <c r="E11" s="2" t="s">
        <v>18</v>
      </c>
      <c r="F11" s="3">
        <v>65</v>
      </c>
      <c r="G11" s="3">
        <f t="shared" si="0"/>
        <v>1625</v>
      </c>
    </row>
    <row r="12" spans="1:7" x14ac:dyDescent="0.2">
      <c r="A12" s="2" t="s">
        <v>37</v>
      </c>
      <c r="B12" s="2" t="s">
        <v>38</v>
      </c>
      <c r="C12" s="2" t="s">
        <v>36</v>
      </c>
      <c r="D12" s="2">
        <v>35</v>
      </c>
      <c r="E12" s="2" t="s">
        <v>18</v>
      </c>
      <c r="F12" s="3">
        <v>55</v>
      </c>
      <c r="G12" s="3">
        <f t="shared" si="0"/>
        <v>1925</v>
      </c>
    </row>
    <row r="13" spans="1:7" x14ac:dyDescent="0.2">
      <c r="A13" s="2" t="s">
        <v>39</v>
      </c>
      <c r="B13" s="2" t="s">
        <v>40</v>
      </c>
      <c r="C13" s="2" t="s">
        <v>36</v>
      </c>
      <c r="D13" s="2">
        <v>20</v>
      </c>
      <c r="E13" s="2" t="s">
        <v>18</v>
      </c>
      <c r="F13" s="3">
        <v>180</v>
      </c>
      <c r="G13" s="3">
        <f t="shared" si="0"/>
        <v>3600</v>
      </c>
    </row>
    <row r="14" spans="1:7" x14ac:dyDescent="0.2">
      <c r="A14" s="2" t="s">
        <v>41</v>
      </c>
      <c r="B14" s="2" t="s">
        <v>42</v>
      </c>
      <c r="C14" s="2" t="s">
        <v>36</v>
      </c>
      <c r="D14" s="2">
        <v>150</v>
      </c>
      <c r="E14" s="2" t="s">
        <v>43</v>
      </c>
      <c r="F14" s="3">
        <v>40</v>
      </c>
      <c r="G14" s="3">
        <f t="shared" si="0"/>
        <v>6000</v>
      </c>
    </row>
    <row r="15" spans="1:7" x14ac:dyDescent="0.2">
      <c r="A15" s="2" t="s">
        <v>44</v>
      </c>
      <c r="B15" s="2" t="s">
        <v>45</v>
      </c>
      <c r="C15" s="2" t="s">
        <v>36</v>
      </c>
      <c r="D15" s="2">
        <v>120</v>
      </c>
      <c r="E15" s="2" t="s">
        <v>27</v>
      </c>
      <c r="F15" s="3">
        <v>30</v>
      </c>
      <c r="G15" s="3">
        <f t="shared" si="0"/>
        <v>3600</v>
      </c>
    </row>
    <row r="16" spans="1:7" x14ac:dyDescent="0.2">
      <c r="A16" s="2" t="s">
        <v>46</v>
      </c>
      <c r="B16" s="2" t="s">
        <v>47</v>
      </c>
      <c r="C16" s="2" t="s">
        <v>48</v>
      </c>
      <c r="D16" s="2">
        <v>90</v>
      </c>
      <c r="E16" s="2" t="s">
        <v>49</v>
      </c>
      <c r="F16" s="3">
        <v>20</v>
      </c>
      <c r="G16" s="3">
        <f t="shared" si="0"/>
        <v>1800</v>
      </c>
    </row>
    <row r="17" spans="1:7" x14ac:dyDescent="0.2">
      <c r="A17" s="2" t="s">
        <v>50</v>
      </c>
      <c r="B17" s="2" t="s">
        <v>51</v>
      </c>
      <c r="C17" s="2" t="s">
        <v>48</v>
      </c>
      <c r="D17" s="2">
        <v>15</v>
      </c>
      <c r="E17" s="2" t="s">
        <v>52</v>
      </c>
      <c r="F17" s="3">
        <v>280</v>
      </c>
      <c r="G17" s="3">
        <f t="shared" si="0"/>
        <v>4200</v>
      </c>
    </row>
    <row r="18" spans="1:7" x14ac:dyDescent="0.2">
      <c r="A18" s="2" t="s">
        <v>53</v>
      </c>
      <c r="B18" s="2" t="s">
        <v>54</v>
      </c>
      <c r="C18" s="2" t="s">
        <v>55</v>
      </c>
      <c r="D18" s="2">
        <v>60</v>
      </c>
      <c r="E18" s="2" t="s">
        <v>56</v>
      </c>
      <c r="F18" s="3">
        <v>85</v>
      </c>
      <c r="G18" s="3">
        <f t="shared" si="0"/>
        <v>5100</v>
      </c>
    </row>
    <row r="19" spans="1:7" x14ac:dyDescent="0.2">
      <c r="A19" s="2" t="s">
        <v>57</v>
      </c>
      <c r="B19" s="2" t="s">
        <v>58</v>
      </c>
      <c r="C19" s="2" t="s">
        <v>55</v>
      </c>
      <c r="D19" s="2">
        <v>110</v>
      </c>
      <c r="E19" s="2" t="s">
        <v>59</v>
      </c>
      <c r="F19" s="3">
        <v>50</v>
      </c>
      <c r="G19" s="3">
        <f t="shared" si="0"/>
        <v>5500</v>
      </c>
    </row>
    <row r="20" spans="1:7" x14ac:dyDescent="0.2">
      <c r="A20" s="2" t="s">
        <v>60</v>
      </c>
      <c r="B20" s="2" t="s">
        <v>61</v>
      </c>
      <c r="C20" s="2" t="s">
        <v>36</v>
      </c>
      <c r="D20" s="2">
        <v>45</v>
      </c>
      <c r="E20" s="2" t="s">
        <v>18</v>
      </c>
      <c r="F20" s="3">
        <v>25</v>
      </c>
      <c r="G20" s="3">
        <f t="shared" si="0"/>
        <v>1125</v>
      </c>
    </row>
    <row r="21" spans="1:7" x14ac:dyDescent="0.2">
      <c r="A21" s="2" t="s">
        <v>62</v>
      </c>
      <c r="B21" s="2" t="s">
        <v>63</v>
      </c>
      <c r="C21" s="2" t="s">
        <v>36</v>
      </c>
      <c r="D21" s="2">
        <v>30</v>
      </c>
      <c r="E21" s="2" t="s">
        <v>18</v>
      </c>
      <c r="F21" s="3">
        <v>90</v>
      </c>
      <c r="G21" s="3">
        <f t="shared" si="0"/>
        <v>2700</v>
      </c>
    </row>
    <row r="22" spans="1:7" x14ac:dyDescent="0.2">
      <c r="A22" s="4"/>
      <c r="B22" s="4" t="s">
        <v>64</v>
      </c>
      <c r="C22" s="4"/>
      <c r="D22" s="4"/>
      <c r="E22" s="4"/>
      <c r="F22" s="5"/>
      <c r="G22" s="5">
        <f>SUM(G2:G21)</f>
        <v>107785</v>
      </c>
    </row>
  </sheetData>
  <pageMargins left="0.7" right="0.7" top="0.75" bottom="0.75" header="0.3" footer="0.3"/>
  <pageSetup scale="93" orientation="landscape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2"/>
  <sheetViews>
    <sheetView workbookViewId="0"/>
  </sheetViews>
  <sheetFormatPr baseColWidth="10" defaultColWidth="12.5703125" defaultRowHeight="15.75" customHeight="1" x14ac:dyDescent="0.2"/>
  <cols>
    <col min="1" max="1" width="10.7109375" customWidth="1"/>
    <col min="2" max="2" width="31.28515625" customWidth="1"/>
    <col min="3" max="3" width="14.85546875" customWidth="1"/>
    <col min="4" max="4" width="11.140625" customWidth="1"/>
    <col min="5" max="5" width="15.42578125" customWidth="1"/>
    <col min="6" max="6" width="12.85546875" customWidth="1"/>
    <col min="7" max="7" width="13.140625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110</v>
      </c>
      <c r="E2" s="2" t="s">
        <v>10</v>
      </c>
      <c r="F2" s="3">
        <v>26</v>
      </c>
      <c r="G2" s="3">
        <f t="shared" ref="G2:G21" si="0">D2*F2</f>
        <v>2860</v>
      </c>
    </row>
    <row r="3" spans="1:7" x14ac:dyDescent="0.2">
      <c r="A3" s="2" t="s">
        <v>11</v>
      </c>
      <c r="B3" s="2" t="s">
        <v>12</v>
      </c>
      <c r="C3" s="2" t="s">
        <v>9</v>
      </c>
      <c r="D3" s="2">
        <v>50</v>
      </c>
      <c r="E3" s="2" t="s">
        <v>13</v>
      </c>
      <c r="F3" s="3">
        <v>155</v>
      </c>
      <c r="G3" s="3">
        <f t="shared" si="0"/>
        <v>7750</v>
      </c>
    </row>
    <row r="4" spans="1:7" x14ac:dyDescent="0.2">
      <c r="A4" s="2" t="s">
        <v>14</v>
      </c>
      <c r="B4" s="2" t="s">
        <v>15</v>
      </c>
      <c r="C4" s="2" t="s">
        <v>9</v>
      </c>
      <c r="D4" s="2">
        <v>75</v>
      </c>
      <c r="E4" s="2" t="s">
        <v>10</v>
      </c>
      <c r="F4" s="3">
        <v>36</v>
      </c>
      <c r="G4" s="3">
        <f t="shared" si="0"/>
        <v>2700</v>
      </c>
    </row>
    <row r="5" spans="1:7" x14ac:dyDescent="0.2">
      <c r="A5" s="2" t="s">
        <v>16</v>
      </c>
      <c r="B5" s="2" t="s">
        <v>17</v>
      </c>
      <c r="C5" s="2" t="s">
        <v>9</v>
      </c>
      <c r="D5" s="2">
        <v>65</v>
      </c>
      <c r="E5" s="2" t="s">
        <v>18</v>
      </c>
      <c r="F5" s="3">
        <v>88</v>
      </c>
      <c r="G5" s="3">
        <f t="shared" si="0"/>
        <v>5720</v>
      </c>
    </row>
    <row r="6" spans="1:7" x14ac:dyDescent="0.2">
      <c r="A6" s="2" t="s">
        <v>19</v>
      </c>
      <c r="B6" s="2" t="s">
        <v>20</v>
      </c>
      <c r="C6" s="2" t="s">
        <v>21</v>
      </c>
      <c r="D6" s="2">
        <v>25</v>
      </c>
      <c r="E6" s="2" t="s">
        <v>13</v>
      </c>
      <c r="F6" s="3">
        <v>205</v>
      </c>
      <c r="G6" s="3">
        <f t="shared" si="0"/>
        <v>5125</v>
      </c>
    </row>
    <row r="7" spans="1:7" x14ac:dyDescent="0.2">
      <c r="A7" s="2" t="s">
        <v>22</v>
      </c>
      <c r="B7" s="2" t="s">
        <v>23</v>
      </c>
      <c r="C7" s="2" t="s">
        <v>21</v>
      </c>
      <c r="D7" s="2">
        <v>55</v>
      </c>
      <c r="E7" s="2" t="s">
        <v>10</v>
      </c>
      <c r="F7" s="3">
        <v>98</v>
      </c>
      <c r="G7" s="3">
        <f t="shared" si="0"/>
        <v>5390</v>
      </c>
    </row>
    <row r="8" spans="1:7" x14ac:dyDescent="0.2">
      <c r="A8" s="2" t="s">
        <v>24</v>
      </c>
      <c r="B8" s="2" t="s">
        <v>25</v>
      </c>
      <c r="C8" s="2" t="s">
        <v>26</v>
      </c>
      <c r="D8" s="2">
        <v>90</v>
      </c>
      <c r="E8" s="2" t="s">
        <v>27</v>
      </c>
      <c r="F8" s="3">
        <v>255</v>
      </c>
      <c r="G8" s="3">
        <f t="shared" si="0"/>
        <v>22950</v>
      </c>
    </row>
    <row r="9" spans="1:7" x14ac:dyDescent="0.2">
      <c r="A9" s="2" t="s">
        <v>28</v>
      </c>
      <c r="B9" s="2" t="s">
        <v>29</v>
      </c>
      <c r="C9" s="2" t="s">
        <v>26</v>
      </c>
      <c r="D9" s="2">
        <v>45</v>
      </c>
      <c r="E9" s="2" t="s">
        <v>30</v>
      </c>
      <c r="F9" s="3">
        <v>360</v>
      </c>
      <c r="G9" s="3">
        <f t="shared" si="0"/>
        <v>16200</v>
      </c>
    </row>
    <row r="10" spans="1:7" x14ac:dyDescent="0.2">
      <c r="A10" s="2" t="s">
        <v>31</v>
      </c>
      <c r="B10" s="2" t="s">
        <v>32</v>
      </c>
      <c r="C10" s="2" t="s">
        <v>26</v>
      </c>
      <c r="D10" s="2">
        <v>80</v>
      </c>
      <c r="E10" s="2" t="s">
        <v>33</v>
      </c>
      <c r="F10" s="3">
        <v>48</v>
      </c>
      <c r="G10" s="3">
        <f t="shared" si="0"/>
        <v>3840</v>
      </c>
    </row>
    <row r="11" spans="1:7" x14ac:dyDescent="0.2">
      <c r="A11" s="2" t="s">
        <v>34</v>
      </c>
      <c r="B11" s="2" t="s">
        <v>35</v>
      </c>
      <c r="C11" s="2" t="s">
        <v>36</v>
      </c>
      <c r="D11" s="2">
        <v>20</v>
      </c>
      <c r="E11" s="2" t="s">
        <v>18</v>
      </c>
      <c r="F11" s="3">
        <v>68</v>
      </c>
      <c r="G11" s="3">
        <f t="shared" si="0"/>
        <v>1360</v>
      </c>
    </row>
    <row r="12" spans="1:7" x14ac:dyDescent="0.2">
      <c r="A12" s="2" t="s">
        <v>37</v>
      </c>
      <c r="B12" s="2" t="s">
        <v>38</v>
      </c>
      <c r="C12" s="2" t="s">
        <v>36</v>
      </c>
      <c r="D12" s="2">
        <v>40</v>
      </c>
      <c r="E12" s="2" t="s">
        <v>18</v>
      </c>
      <c r="F12" s="3">
        <v>58</v>
      </c>
      <c r="G12" s="3">
        <f t="shared" si="0"/>
        <v>2320</v>
      </c>
    </row>
    <row r="13" spans="1:7" x14ac:dyDescent="0.2">
      <c r="A13" s="2" t="s">
        <v>39</v>
      </c>
      <c r="B13" s="2" t="s">
        <v>40</v>
      </c>
      <c r="C13" s="2" t="s">
        <v>36</v>
      </c>
      <c r="D13" s="2">
        <v>15</v>
      </c>
      <c r="E13" s="2" t="s">
        <v>18</v>
      </c>
      <c r="F13" s="3">
        <v>185</v>
      </c>
      <c r="G13" s="3">
        <f t="shared" si="0"/>
        <v>2775</v>
      </c>
    </row>
    <row r="14" spans="1:7" x14ac:dyDescent="0.2">
      <c r="A14" s="2" t="s">
        <v>41</v>
      </c>
      <c r="B14" s="2" t="s">
        <v>42</v>
      </c>
      <c r="C14" s="2" t="s">
        <v>36</v>
      </c>
      <c r="D14" s="2">
        <v>140</v>
      </c>
      <c r="E14" s="2" t="s">
        <v>43</v>
      </c>
      <c r="F14" s="3">
        <v>42</v>
      </c>
      <c r="G14" s="3">
        <f t="shared" si="0"/>
        <v>5880</v>
      </c>
    </row>
    <row r="15" spans="1:7" x14ac:dyDescent="0.2">
      <c r="A15" s="2" t="s">
        <v>44</v>
      </c>
      <c r="B15" s="2" t="s">
        <v>45</v>
      </c>
      <c r="C15" s="2" t="s">
        <v>36</v>
      </c>
      <c r="D15" s="2">
        <v>110</v>
      </c>
      <c r="E15" s="2" t="s">
        <v>27</v>
      </c>
      <c r="F15" s="3">
        <v>32</v>
      </c>
      <c r="G15" s="3">
        <f t="shared" si="0"/>
        <v>3520</v>
      </c>
    </row>
    <row r="16" spans="1:7" x14ac:dyDescent="0.2">
      <c r="A16" s="2" t="s">
        <v>46</v>
      </c>
      <c r="B16" s="2" t="s">
        <v>47</v>
      </c>
      <c r="C16" s="2" t="s">
        <v>48</v>
      </c>
      <c r="D16" s="2">
        <v>85</v>
      </c>
      <c r="E16" s="2" t="s">
        <v>49</v>
      </c>
      <c r="F16" s="3">
        <v>22</v>
      </c>
      <c r="G16" s="3">
        <f t="shared" si="0"/>
        <v>1870</v>
      </c>
    </row>
    <row r="17" spans="1:7" x14ac:dyDescent="0.2">
      <c r="A17" s="2" t="s">
        <v>50</v>
      </c>
      <c r="B17" s="2" t="s">
        <v>51</v>
      </c>
      <c r="C17" s="2" t="s">
        <v>48</v>
      </c>
      <c r="D17" s="2">
        <v>20</v>
      </c>
      <c r="E17" s="2" t="s">
        <v>52</v>
      </c>
      <c r="F17" s="3">
        <v>285</v>
      </c>
      <c r="G17" s="3">
        <f t="shared" si="0"/>
        <v>5700</v>
      </c>
    </row>
    <row r="18" spans="1:7" x14ac:dyDescent="0.2">
      <c r="A18" s="2" t="s">
        <v>53</v>
      </c>
      <c r="B18" s="2" t="s">
        <v>54</v>
      </c>
      <c r="C18" s="2" t="s">
        <v>55</v>
      </c>
      <c r="D18" s="2">
        <v>55</v>
      </c>
      <c r="E18" s="2" t="s">
        <v>56</v>
      </c>
      <c r="F18" s="3">
        <v>88</v>
      </c>
      <c r="G18" s="3">
        <f t="shared" si="0"/>
        <v>4840</v>
      </c>
    </row>
    <row r="19" spans="1:7" x14ac:dyDescent="0.2">
      <c r="A19" s="2" t="s">
        <v>57</v>
      </c>
      <c r="B19" s="2" t="s">
        <v>58</v>
      </c>
      <c r="C19" s="2" t="s">
        <v>55</v>
      </c>
      <c r="D19" s="2">
        <v>100</v>
      </c>
      <c r="E19" s="2" t="s">
        <v>59</v>
      </c>
      <c r="F19" s="3">
        <v>52</v>
      </c>
      <c r="G19" s="3">
        <f t="shared" si="0"/>
        <v>5200</v>
      </c>
    </row>
    <row r="20" spans="1:7" x14ac:dyDescent="0.2">
      <c r="A20" s="2" t="s">
        <v>60</v>
      </c>
      <c r="B20" s="2" t="s">
        <v>61</v>
      </c>
      <c r="C20" s="2" t="s">
        <v>36</v>
      </c>
      <c r="D20" s="2">
        <v>50</v>
      </c>
      <c r="E20" s="2" t="s">
        <v>18</v>
      </c>
      <c r="F20" s="3">
        <v>28</v>
      </c>
      <c r="G20" s="3">
        <f t="shared" si="0"/>
        <v>1400</v>
      </c>
    </row>
    <row r="21" spans="1:7" x14ac:dyDescent="0.2">
      <c r="A21" s="2" t="s">
        <v>62</v>
      </c>
      <c r="B21" s="2" t="s">
        <v>63</v>
      </c>
      <c r="C21" s="2" t="s">
        <v>36</v>
      </c>
      <c r="D21" s="2">
        <v>25</v>
      </c>
      <c r="E21" s="2" t="s">
        <v>18</v>
      </c>
      <c r="F21" s="3">
        <v>95</v>
      </c>
      <c r="G21" s="3">
        <f t="shared" si="0"/>
        <v>2375</v>
      </c>
    </row>
    <row r="22" spans="1:7" x14ac:dyDescent="0.2">
      <c r="A22" s="4"/>
      <c r="B22" s="4" t="s">
        <v>64</v>
      </c>
      <c r="C22" s="4"/>
      <c r="D22" s="4"/>
      <c r="E22" s="4"/>
      <c r="F22" s="5"/>
      <c r="G22" s="5">
        <f>SUM(G2:G21)</f>
        <v>109775</v>
      </c>
    </row>
  </sheetData>
  <pageMargins left="0.7" right="0.7" top="0.75" bottom="0.75" header="0.3" footer="0.3"/>
  <pageSetup orientation="landscape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G22"/>
  <sheetViews>
    <sheetView workbookViewId="0"/>
  </sheetViews>
  <sheetFormatPr baseColWidth="10" defaultColWidth="12.5703125" defaultRowHeight="15.75" customHeight="1" x14ac:dyDescent="0.2"/>
  <cols>
    <col min="1" max="1" width="10.7109375" customWidth="1"/>
    <col min="2" max="2" width="31.28515625" customWidth="1"/>
    <col min="3" max="3" width="14.85546875" customWidth="1"/>
    <col min="4" max="4" width="11.140625" customWidth="1"/>
    <col min="5" max="5" width="15.42578125" customWidth="1"/>
    <col min="6" max="6" width="12.85546875" customWidth="1"/>
    <col min="7" max="7" width="15.140625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130</v>
      </c>
      <c r="E2" s="2" t="s">
        <v>10</v>
      </c>
      <c r="F2" s="3">
        <v>24</v>
      </c>
      <c r="G2" s="3">
        <f t="shared" ref="G2:G21" si="0">D2*F2</f>
        <v>3120</v>
      </c>
    </row>
    <row r="3" spans="1:7" x14ac:dyDescent="0.2">
      <c r="A3" s="2" t="s">
        <v>11</v>
      </c>
      <c r="B3" s="2" t="s">
        <v>12</v>
      </c>
      <c r="C3" s="2" t="s">
        <v>9</v>
      </c>
      <c r="D3" s="2">
        <v>40</v>
      </c>
      <c r="E3" s="2" t="s">
        <v>13</v>
      </c>
      <c r="F3" s="3">
        <v>145</v>
      </c>
      <c r="G3" s="3">
        <f t="shared" si="0"/>
        <v>5800</v>
      </c>
    </row>
    <row r="4" spans="1:7" x14ac:dyDescent="0.2">
      <c r="A4" s="2" t="s">
        <v>14</v>
      </c>
      <c r="B4" s="2" t="s">
        <v>15</v>
      </c>
      <c r="C4" s="2" t="s">
        <v>9</v>
      </c>
      <c r="D4" s="2">
        <v>85</v>
      </c>
      <c r="E4" s="2" t="s">
        <v>10</v>
      </c>
      <c r="F4" s="3">
        <v>34</v>
      </c>
      <c r="G4" s="3">
        <f t="shared" si="0"/>
        <v>2890</v>
      </c>
    </row>
    <row r="5" spans="1:7" x14ac:dyDescent="0.2">
      <c r="A5" s="2" t="s">
        <v>16</v>
      </c>
      <c r="B5" s="2" t="s">
        <v>17</v>
      </c>
      <c r="C5" s="2" t="s">
        <v>9</v>
      </c>
      <c r="D5" s="2">
        <v>55</v>
      </c>
      <c r="E5" s="2" t="s">
        <v>18</v>
      </c>
      <c r="F5" s="3">
        <v>82</v>
      </c>
      <c r="G5" s="3">
        <f t="shared" si="0"/>
        <v>4510</v>
      </c>
    </row>
    <row r="6" spans="1:7" x14ac:dyDescent="0.2">
      <c r="A6" s="2" t="s">
        <v>19</v>
      </c>
      <c r="B6" s="2" t="s">
        <v>20</v>
      </c>
      <c r="C6" s="2" t="s">
        <v>21</v>
      </c>
      <c r="D6" s="2">
        <v>35</v>
      </c>
      <c r="E6" s="2" t="s">
        <v>13</v>
      </c>
      <c r="F6" s="3">
        <v>195</v>
      </c>
      <c r="G6" s="3">
        <f t="shared" si="0"/>
        <v>6825</v>
      </c>
    </row>
    <row r="7" spans="1:7" x14ac:dyDescent="0.2">
      <c r="A7" s="2" t="s">
        <v>22</v>
      </c>
      <c r="B7" s="2" t="s">
        <v>23</v>
      </c>
      <c r="C7" s="2" t="s">
        <v>21</v>
      </c>
      <c r="D7" s="2">
        <v>45</v>
      </c>
      <c r="E7" s="2" t="s">
        <v>10</v>
      </c>
      <c r="F7" s="3">
        <v>92</v>
      </c>
      <c r="G7" s="3">
        <f t="shared" si="0"/>
        <v>4140</v>
      </c>
    </row>
    <row r="8" spans="1:7" x14ac:dyDescent="0.2">
      <c r="A8" s="2" t="s">
        <v>24</v>
      </c>
      <c r="B8" s="2" t="s">
        <v>25</v>
      </c>
      <c r="C8" s="2" t="s">
        <v>26</v>
      </c>
      <c r="D8" s="2">
        <v>110</v>
      </c>
      <c r="E8" s="2" t="s">
        <v>27</v>
      </c>
      <c r="F8" s="3">
        <v>245</v>
      </c>
      <c r="G8" s="3">
        <f t="shared" si="0"/>
        <v>26950</v>
      </c>
    </row>
    <row r="9" spans="1:7" x14ac:dyDescent="0.2">
      <c r="A9" s="2" t="s">
        <v>28</v>
      </c>
      <c r="B9" s="2" t="s">
        <v>29</v>
      </c>
      <c r="C9" s="2" t="s">
        <v>26</v>
      </c>
      <c r="D9" s="2">
        <v>35</v>
      </c>
      <c r="E9" s="2" t="s">
        <v>30</v>
      </c>
      <c r="F9" s="3">
        <v>340</v>
      </c>
      <c r="G9" s="3">
        <f t="shared" si="0"/>
        <v>11900</v>
      </c>
    </row>
    <row r="10" spans="1:7" x14ac:dyDescent="0.2">
      <c r="A10" s="2" t="s">
        <v>31</v>
      </c>
      <c r="B10" s="2" t="s">
        <v>32</v>
      </c>
      <c r="C10" s="2" t="s">
        <v>26</v>
      </c>
      <c r="D10" s="2">
        <v>60</v>
      </c>
      <c r="E10" s="2" t="s">
        <v>33</v>
      </c>
      <c r="F10" s="3">
        <v>42</v>
      </c>
      <c r="G10" s="3">
        <f t="shared" si="0"/>
        <v>2520</v>
      </c>
    </row>
    <row r="11" spans="1:7" x14ac:dyDescent="0.2">
      <c r="A11" s="2" t="s">
        <v>34</v>
      </c>
      <c r="B11" s="2" t="s">
        <v>35</v>
      </c>
      <c r="C11" s="2" t="s">
        <v>36</v>
      </c>
      <c r="D11" s="2">
        <v>30</v>
      </c>
      <c r="E11" s="2" t="s">
        <v>18</v>
      </c>
      <c r="F11" s="3">
        <v>62</v>
      </c>
      <c r="G11" s="3">
        <f t="shared" si="0"/>
        <v>1860</v>
      </c>
    </row>
    <row r="12" spans="1:7" x14ac:dyDescent="0.2">
      <c r="A12" s="2" t="s">
        <v>37</v>
      </c>
      <c r="B12" s="2" t="s">
        <v>38</v>
      </c>
      <c r="C12" s="2" t="s">
        <v>36</v>
      </c>
      <c r="D12" s="2">
        <v>30</v>
      </c>
      <c r="E12" s="2" t="s">
        <v>18</v>
      </c>
      <c r="F12" s="3">
        <v>52</v>
      </c>
      <c r="G12" s="3">
        <f t="shared" si="0"/>
        <v>1560</v>
      </c>
    </row>
    <row r="13" spans="1:7" x14ac:dyDescent="0.2">
      <c r="A13" s="2" t="s">
        <v>39</v>
      </c>
      <c r="B13" s="2" t="s">
        <v>40</v>
      </c>
      <c r="C13" s="2" t="s">
        <v>36</v>
      </c>
      <c r="D13" s="2">
        <v>25</v>
      </c>
      <c r="E13" s="2" t="s">
        <v>18</v>
      </c>
      <c r="F13" s="3">
        <v>175</v>
      </c>
      <c r="G13" s="3">
        <f t="shared" si="0"/>
        <v>4375</v>
      </c>
    </row>
    <row r="14" spans="1:7" x14ac:dyDescent="0.2">
      <c r="A14" s="2" t="s">
        <v>41</v>
      </c>
      <c r="B14" s="2" t="s">
        <v>42</v>
      </c>
      <c r="C14" s="2" t="s">
        <v>36</v>
      </c>
      <c r="D14" s="2">
        <v>160</v>
      </c>
      <c r="E14" s="2" t="s">
        <v>43</v>
      </c>
      <c r="F14" s="3">
        <v>38</v>
      </c>
      <c r="G14" s="3">
        <f t="shared" si="0"/>
        <v>6080</v>
      </c>
    </row>
    <row r="15" spans="1:7" x14ac:dyDescent="0.2">
      <c r="A15" s="2" t="s">
        <v>44</v>
      </c>
      <c r="B15" s="2" t="s">
        <v>45</v>
      </c>
      <c r="C15" s="2" t="s">
        <v>36</v>
      </c>
      <c r="D15" s="2">
        <v>130</v>
      </c>
      <c r="E15" s="2" t="s">
        <v>27</v>
      </c>
      <c r="F15" s="3">
        <v>28</v>
      </c>
      <c r="G15" s="3">
        <f t="shared" si="0"/>
        <v>3640</v>
      </c>
    </row>
    <row r="16" spans="1:7" x14ac:dyDescent="0.2">
      <c r="A16" s="2" t="s">
        <v>46</v>
      </c>
      <c r="B16" s="2" t="s">
        <v>47</v>
      </c>
      <c r="C16" s="2" t="s">
        <v>48</v>
      </c>
      <c r="D16" s="2">
        <v>95</v>
      </c>
      <c r="E16" s="2" t="s">
        <v>49</v>
      </c>
      <c r="F16" s="3">
        <v>18</v>
      </c>
      <c r="G16" s="3">
        <f t="shared" si="0"/>
        <v>1710</v>
      </c>
    </row>
    <row r="17" spans="1:7" x14ac:dyDescent="0.2">
      <c r="A17" s="2" t="s">
        <v>50</v>
      </c>
      <c r="B17" s="2" t="s">
        <v>51</v>
      </c>
      <c r="C17" s="2" t="s">
        <v>48</v>
      </c>
      <c r="D17" s="2">
        <v>10</v>
      </c>
      <c r="E17" s="2" t="s">
        <v>52</v>
      </c>
      <c r="F17" s="3">
        <v>275</v>
      </c>
      <c r="G17" s="3">
        <f t="shared" si="0"/>
        <v>2750</v>
      </c>
    </row>
    <row r="18" spans="1:7" x14ac:dyDescent="0.2">
      <c r="A18" s="2" t="s">
        <v>53</v>
      </c>
      <c r="B18" s="2" t="s">
        <v>54</v>
      </c>
      <c r="C18" s="2" t="s">
        <v>55</v>
      </c>
      <c r="D18" s="2">
        <v>65</v>
      </c>
      <c r="E18" s="2" t="s">
        <v>56</v>
      </c>
      <c r="F18" s="3">
        <v>82</v>
      </c>
      <c r="G18" s="3">
        <f t="shared" si="0"/>
        <v>5330</v>
      </c>
    </row>
    <row r="19" spans="1:7" x14ac:dyDescent="0.2">
      <c r="A19" s="2" t="s">
        <v>57</v>
      </c>
      <c r="B19" s="2" t="s">
        <v>58</v>
      </c>
      <c r="C19" s="2" t="s">
        <v>55</v>
      </c>
      <c r="D19" s="2">
        <v>120</v>
      </c>
      <c r="E19" s="2" t="s">
        <v>59</v>
      </c>
      <c r="F19" s="3">
        <v>48</v>
      </c>
      <c r="G19" s="3">
        <f t="shared" si="0"/>
        <v>5760</v>
      </c>
    </row>
    <row r="20" spans="1:7" x14ac:dyDescent="0.2">
      <c r="A20" s="2" t="s">
        <v>60</v>
      </c>
      <c r="B20" s="2" t="s">
        <v>61</v>
      </c>
      <c r="C20" s="2" t="s">
        <v>36</v>
      </c>
      <c r="D20" s="2">
        <v>40</v>
      </c>
      <c r="E20" s="2" t="s">
        <v>18</v>
      </c>
      <c r="F20" s="3">
        <v>22</v>
      </c>
      <c r="G20" s="3">
        <f t="shared" si="0"/>
        <v>880</v>
      </c>
    </row>
    <row r="21" spans="1:7" x14ac:dyDescent="0.2">
      <c r="A21" s="2" t="s">
        <v>62</v>
      </c>
      <c r="B21" s="2" t="s">
        <v>63</v>
      </c>
      <c r="C21" s="2" t="s">
        <v>36</v>
      </c>
      <c r="D21" s="2">
        <v>35</v>
      </c>
      <c r="E21" s="2" t="s">
        <v>18</v>
      </c>
      <c r="F21" s="3">
        <v>85</v>
      </c>
      <c r="G21" s="3">
        <f t="shared" si="0"/>
        <v>2975</v>
      </c>
    </row>
    <row r="22" spans="1:7" x14ac:dyDescent="0.2">
      <c r="A22" s="4"/>
      <c r="B22" s="4" t="s">
        <v>64</v>
      </c>
      <c r="C22" s="4"/>
      <c r="D22" s="4"/>
      <c r="E22" s="4"/>
      <c r="F22" s="5"/>
      <c r="G22" s="5">
        <f>SUM(G2:G21)</f>
        <v>105575</v>
      </c>
    </row>
  </sheetData>
  <pageMargins left="0.7" right="0.7" top="0.75" bottom="0.75" header="0.3" footer="0.3"/>
  <pageSetup orientation="landscape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G22"/>
  <sheetViews>
    <sheetView workbookViewId="0"/>
  </sheetViews>
  <sheetFormatPr baseColWidth="10" defaultColWidth="12.5703125" defaultRowHeight="15.75" customHeight="1" x14ac:dyDescent="0.2"/>
  <cols>
    <col min="1" max="1" width="10.7109375" customWidth="1"/>
    <col min="2" max="2" width="31.28515625" customWidth="1"/>
    <col min="3" max="3" width="14.85546875" customWidth="1"/>
    <col min="4" max="4" width="11.140625" customWidth="1"/>
    <col min="5" max="5" width="15.42578125" customWidth="1"/>
    <col min="6" max="6" width="12.85546875" customWidth="1"/>
    <col min="7" max="7" width="14.85546875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115</v>
      </c>
      <c r="E2" s="2" t="s">
        <v>10</v>
      </c>
      <c r="F2" s="3">
        <v>25</v>
      </c>
      <c r="G2" s="3">
        <f t="shared" ref="G2:G21" si="0">D2*F2</f>
        <v>2875</v>
      </c>
    </row>
    <row r="3" spans="1:7" x14ac:dyDescent="0.2">
      <c r="A3" s="2" t="s">
        <v>11</v>
      </c>
      <c r="B3" s="2" t="s">
        <v>12</v>
      </c>
      <c r="C3" s="2" t="s">
        <v>9</v>
      </c>
      <c r="D3" s="2">
        <v>48</v>
      </c>
      <c r="E3" s="2" t="s">
        <v>13</v>
      </c>
      <c r="F3" s="3">
        <v>152</v>
      </c>
      <c r="G3" s="3">
        <f t="shared" si="0"/>
        <v>7296</v>
      </c>
    </row>
    <row r="4" spans="1:7" x14ac:dyDescent="0.2">
      <c r="A4" s="2" t="s">
        <v>14</v>
      </c>
      <c r="B4" s="2" t="s">
        <v>15</v>
      </c>
      <c r="C4" s="2" t="s">
        <v>9</v>
      </c>
      <c r="D4" s="2">
        <v>78</v>
      </c>
      <c r="E4" s="2" t="s">
        <v>10</v>
      </c>
      <c r="F4" s="3">
        <v>35</v>
      </c>
      <c r="G4" s="3">
        <f t="shared" si="0"/>
        <v>2730</v>
      </c>
    </row>
    <row r="5" spans="1:7" x14ac:dyDescent="0.2">
      <c r="A5" s="2" t="s">
        <v>16</v>
      </c>
      <c r="B5" s="2" t="s">
        <v>17</v>
      </c>
      <c r="C5" s="2" t="s">
        <v>9</v>
      </c>
      <c r="D5" s="2">
        <v>62</v>
      </c>
      <c r="E5" s="2" t="s">
        <v>18</v>
      </c>
      <c r="F5" s="3">
        <v>86</v>
      </c>
      <c r="G5" s="3">
        <f t="shared" si="0"/>
        <v>5332</v>
      </c>
    </row>
    <row r="6" spans="1:7" x14ac:dyDescent="0.2">
      <c r="A6" s="2" t="s">
        <v>19</v>
      </c>
      <c r="B6" s="2" t="s">
        <v>20</v>
      </c>
      <c r="C6" s="2" t="s">
        <v>21</v>
      </c>
      <c r="D6" s="2">
        <v>28</v>
      </c>
      <c r="E6" s="2" t="s">
        <v>13</v>
      </c>
      <c r="F6" s="3">
        <v>202</v>
      </c>
      <c r="G6" s="3">
        <f t="shared" si="0"/>
        <v>5656</v>
      </c>
    </row>
    <row r="7" spans="1:7" x14ac:dyDescent="0.2">
      <c r="A7" s="2" t="s">
        <v>22</v>
      </c>
      <c r="B7" s="2" t="s">
        <v>23</v>
      </c>
      <c r="C7" s="2" t="s">
        <v>21</v>
      </c>
      <c r="D7" s="2">
        <v>52</v>
      </c>
      <c r="E7" s="2" t="s">
        <v>10</v>
      </c>
      <c r="F7" s="3">
        <v>96</v>
      </c>
      <c r="G7" s="3">
        <f t="shared" si="0"/>
        <v>4992</v>
      </c>
    </row>
    <row r="8" spans="1:7" x14ac:dyDescent="0.2">
      <c r="A8" s="2" t="s">
        <v>24</v>
      </c>
      <c r="B8" s="2" t="s">
        <v>25</v>
      </c>
      <c r="C8" s="2" t="s">
        <v>26</v>
      </c>
      <c r="D8" s="2">
        <v>95</v>
      </c>
      <c r="E8" s="2" t="s">
        <v>27</v>
      </c>
      <c r="F8" s="3">
        <v>252</v>
      </c>
      <c r="G8" s="3">
        <f t="shared" si="0"/>
        <v>23940</v>
      </c>
    </row>
    <row r="9" spans="1:7" x14ac:dyDescent="0.2">
      <c r="A9" s="2" t="s">
        <v>28</v>
      </c>
      <c r="B9" s="2" t="s">
        <v>29</v>
      </c>
      <c r="C9" s="2" t="s">
        <v>26</v>
      </c>
      <c r="D9" s="2">
        <v>42</v>
      </c>
      <c r="E9" s="2" t="s">
        <v>30</v>
      </c>
      <c r="F9" s="3">
        <v>355</v>
      </c>
      <c r="G9" s="3">
        <f t="shared" si="0"/>
        <v>14910</v>
      </c>
    </row>
    <row r="10" spans="1:7" x14ac:dyDescent="0.2">
      <c r="A10" s="2" t="s">
        <v>31</v>
      </c>
      <c r="B10" s="2" t="s">
        <v>32</v>
      </c>
      <c r="C10" s="2" t="s">
        <v>26</v>
      </c>
      <c r="D10" s="2">
        <v>75</v>
      </c>
      <c r="E10" s="2" t="s">
        <v>33</v>
      </c>
      <c r="F10" s="3">
        <v>46</v>
      </c>
      <c r="G10" s="3">
        <f t="shared" si="0"/>
        <v>3450</v>
      </c>
    </row>
    <row r="11" spans="1:7" x14ac:dyDescent="0.2">
      <c r="A11" s="2" t="s">
        <v>34</v>
      </c>
      <c r="B11" s="2" t="s">
        <v>35</v>
      </c>
      <c r="C11" s="2" t="s">
        <v>36</v>
      </c>
      <c r="D11" s="2">
        <v>22</v>
      </c>
      <c r="E11" s="2" t="s">
        <v>18</v>
      </c>
      <c r="F11" s="3">
        <v>66</v>
      </c>
      <c r="G11" s="3">
        <f t="shared" si="0"/>
        <v>1452</v>
      </c>
    </row>
    <row r="12" spans="1:7" x14ac:dyDescent="0.2">
      <c r="A12" s="2" t="s">
        <v>37</v>
      </c>
      <c r="B12" s="2" t="s">
        <v>38</v>
      </c>
      <c r="C12" s="2" t="s">
        <v>36</v>
      </c>
      <c r="D12" s="2">
        <v>38</v>
      </c>
      <c r="E12" s="2" t="s">
        <v>18</v>
      </c>
      <c r="F12" s="3">
        <v>56</v>
      </c>
      <c r="G12" s="3">
        <f t="shared" si="0"/>
        <v>2128</v>
      </c>
    </row>
    <row r="13" spans="1:7" x14ac:dyDescent="0.2">
      <c r="A13" s="2" t="s">
        <v>39</v>
      </c>
      <c r="B13" s="2" t="s">
        <v>40</v>
      </c>
      <c r="C13" s="2" t="s">
        <v>36</v>
      </c>
      <c r="D13" s="2">
        <v>18</v>
      </c>
      <c r="E13" s="2" t="s">
        <v>18</v>
      </c>
      <c r="F13" s="3">
        <v>182</v>
      </c>
      <c r="G13" s="3">
        <f t="shared" si="0"/>
        <v>3276</v>
      </c>
    </row>
    <row r="14" spans="1:7" x14ac:dyDescent="0.2">
      <c r="A14" s="2" t="s">
        <v>41</v>
      </c>
      <c r="B14" s="2" t="s">
        <v>42</v>
      </c>
      <c r="C14" s="2" t="s">
        <v>36</v>
      </c>
      <c r="D14" s="2">
        <v>145</v>
      </c>
      <c r="E14" s="2" t="s">
        <v>43</v>
      </c>
      <c r="F14" s="3">
        <v>41</v>
      </c>
      <c r="G14" s="3">
        <f t="shared" si="0"/>
        <v>5945</v>
      </c>
    </row>
    <row r="15" spans="1:7" x14ac:dyDescent="0.2">
      <c r="A15" s="2" t="s">
        <v>44</v>
      </c>
      <c r="B15" s="2" t="s">
        <v>45</v>
      </c>
      <c r="C15" s="2" t="s">
        <v>36</v>
      </c>
      <c r="D15" s="2">
        <v>115</v>
      </c>
      <c r="E15" s="2" t="s">
        <v>27</v>
      </c>
      <c r="F15" s="3">
        <v>31</v>
      </c>
      <c r="G15" s="3">
        <f t="shared" si="0"/>
        <v>3565</v>
      </c>
    </row>
    <row r="16" spans="1:7" x14ac:dyDescent="0.2">
      <c r="A16" s="2" t="s">
        <v>46</v>
      </c>
      <c r="B16" s="2" t="s">
        <v>47</v>
      </c>
      <c r="C16" s="2" t="s">
        <v>48</v>
      </c>
      <c r="D16" s="2">
        <v>88</v>
      </c>
      <c r="E16" s="2" t="s">
        <v>49</v>
      </c>
      <c r="F16" s="3">
        <v>21</v>
      </c>
      <c r="G16" s="3">
        <f t="shared" si="0"/>
        <v>1848</v>
      </c>
    </row>
    <row r="17" spans="1:7" x14ac:dyDescent="0.2">
      <c r="A17" s="2" t="s">
        <v>50</v>
      </c>
      <c r="B17" s="2" t="s">
        <v>51</v>
      </c>
      <c r="C17" s="2" t="s">
        <v>48</v>
      </c>
      <c r="D17" s="2">
        <v>18</v>
      </c>
      <c r="E17" s="2" t="s">
        <v>52</v>
      </c>
      <c r="F17" s="3">
        <v>282</v>
      </c>
      <c r="G17" s="3">
        <f t="shared" si="0"/>
        <v>5076</v>
      </c>
    </row>
    <row r="18" spans="1:7" x14ac:dyDescent="0.2">
      <c r="A18" s="2" t="s">
        <v>53</v>
      </c>
      <c r="B18" s="2" t="s">
        <v>54</v>
      </c>
      <c r="C18" s="2" t="s">
        <v>55</v>
      </c>
      <c r="D18" s="2">
        <v>58</v>
      </c>
      <c r="E18" s="2" t="s">
        <v>56</v>
      </c>
      <c r="F18" s="3">
        <v>86</v>
      </c>
      <c r="G18" s="3">
        <f t="shared" si="0"/>
        <v>4988</v>
      </c>
    </row>
    <row r="19" spans="1:7" x14ac:dyDescent="0.2">
      <c r="A19" s="2" t="s">
        <v>57</v>
      </c>
      <c r="B19" s="2" t="s">
        <v>58</v>
      </c>
      <c r="C19" s="2" t="s">
        <v>55</v>
      </c>
      <c r="D19" s="2">
        <v>105</v>
      </c>
      <c r="E19" s="2" t="s">
        <v>59</v>
      </c>
      <c r="F19" s="3">
        <v>51</v>
      </c>
      <c r="G19" s="3">
        <f t="shared" si="0"/>
        <v>5355</v>
      </c>
    </row>
    <row r="20" spans="1:7" x14ac:dyDescent="0.2">
      <c r="A20" s="2" t="s">
        <v>60</v>
      </c>
      <c r="B20" s="2" t="s">
        <v>61</v>
      </c>
      <c r="C20" s="2" t="s">
        <v>36</v>
      </c>
      <c r="D20" s="2">
        <v>48</v>
      </c>
      <c r="E20" s="2" t="s">
        <v>18</v>
      </c>
      <c r="F20" s="3">
        <v>26</v>
      </c>
      <c r="G20" s="3">
        <f t="shared" si="0"/>
        <v>1248</v>
      </c>
    </row>
    <row r="21" spans="1:7" x14ac:dyDescent="0.2">
      <c r="A21" s="2" t="s">
        <v>62</v>
      </c>
      <c r="B21" s="2" t="s">
        <v>63</v>
      </c>
      <c r="C21" s="2" t="s">
        <v>36</v>
      </c>
      <c r="D21" s="2">
        <v>28</v>
      </c>
      <c r="E21" s="2" t="s">
        <v>18</v>
      </c>
      <c r="F21" s="3">
        <v>92</v>
      </c>
      <c r="G21" s="3">
        <f t="shared" si="0"/>
        <v>2576</v>
      </c>
    </row>
    <row r="22" spans="1:7" x14ac:dyDescent="0.2">
      <c r="A22" s="4"/>
      <c r="B22" s="4" t="s">
        <v>64</v>
      </c>
      <c r="C22" s="4"/>
      <c r="D22" s="4"/>
      <c r="E22" s="4"/>
      <c r="F22" s="5"/>
      <c r="G22" s="5">
        <f>SUM(G2:G21)</f>
        <v>108638</v>
      </c>
    </row>
  </sheetData>
  <pageMargins left="0.7" right="0.7" top="0.75" bottom="0.75" header="0.3" footer="0.3"/>
  <pageSetup orientation="landscape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2"/>
  <sheetViews>
    <sheetView tabSelected="1" workbookViewId="0"/>
  </sheetViews>
  <sheetFormatPr baseColWidth="10" defaultColWidth="12.5703125" defaultRowHeight="15.75" customHeight="1" x14ac:dyDescent="0.2"/>
  <cols>
    <col min="1" max="1" width="10.7109375" customWidth="1"/>
    <col min="2" max="2" width="31.28515625" customWidth="1"/>
    <col min="3" max="3" width="14.85546875" customWidth="1"/>
    <col min="4" max="4" width="11.140625" customWidth="1"/>
    <col min="5" max="5" width="15.42578125" customWidth="1"/>
    <col min="6" max="6" width="12.85546875" customWidth="1"/>
    <col min="7" max="7" width="14.5703125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125</v>
      </c>
      <c r="E2" s="2" t="s">
        <v>10</v>
      </c>
      <c r="F2" s="3">
        <v>27</v>
      </c>
      <c r="G2" s="3">
        <f t="shared" ref="G2:G21" si="0">D2*F2</f>
        <v>3375</v>
      </c>
    </row>
    <row r="3" spans="1:7" x14ac:dyDescent="0.2">
      <c r="A3" s="2" t="s">
        <v>11</v>
      </c>
      <c r="B3" s="2" t="s">
        <v>12</v>
      </c>
      <c r="C3" s="2" t="s">
        <v>9</v>
      </c>
      <c r="D3" s="2">
        <v>42</v>
      </c>
      <c r="E3" s="2" t="s">
        <v>13</v>
      </c>
      <c r="F3" s="3">
        <v>148</v>
      </c>
      <c r="G3" s="3">
        <f t="shared" si="0"/>
        <v>6216</v>
      </c>
    </row>
    <row r="4" spans="1:7" x14ac:dyDescent="0.2">
      <c r="A4" s="2" t="s">
        <v>14</v>
      </c>
      <c r="B4" s="2" t="s">
        <v>15</v>
      </c>
      <c r="C4" s="2" t="s">
        <v>9</v>
      </c>
      <c r="D4" s="2">
        <v>82</v>
      </c>
      <c r="E4" s="2" t="s">
        <v>10</v>
      </c>
      <c r="F4" s="3">
        <v>37</v>
      </c>
      <c r="G4" s="3">
        <f t="shared" si="0"/>
        <v>3034</v>
      </c>
    </row>
    <row r="5" spans="1:7" x14ac:dyDescent="0.2">
      <c r="A5" s="2" t="s">
        <v>16</v>
      </c>
      <c r="B5" s="2" t="s">
        <v>17</v>
      </c>
      <c r="C5" s="2" t="s">
        <v>9</v>
      </c>
      <c r="D5" s="2">
        <v>58</v>
      </c>
      <c r="E5" s="2" t="s">
        <v>18</v>
      </c>
      <c r="F5" s="3">
        <v>84</v>
      </c>
      <c r="G5" s="3">
        <f t="shared" si="0"/>
        <v>4872</v>
      </c>
    </row>
    <row r="6" spans="1:7" x14ac:dyDescent="0.2">
      <c r="A6" s="2" t="s">
        <v>19</v>
      </c>
      <c r="B6" s="2" t="s">
        <v>20</v>
      </c>
      <c r="C6" s="2" t="s">
        <v>21</v>
      </c>
      <c r="D6" s="2">
        <v>32</v>
      </c>
      <c r="E6" s="2" t="s">
        <v>13</v>
      </c>
      <c r="F6" s="3">
        <v>198</v>
      </c>
      <c r="G6" s="3">
        <f t="shared" si="0"/>
        <v>6336</v>
      </c>
    </row>
    <row r="7" spans="1:7" x14ac:dyDescent="0.2">
      <c r="A7" s="2" t="s">
        <v>22</v>
      </c>
      <c r="B7" s="2" t="s">
        <v>23</v>
      </c>
      <c r="C7" s="2" t="s">
        <v>21</v>
      </c>
      <c r="D7" s="2">
        <v>48</v>
      </c>
      <c r="E7" s="2" t="s">
        <v>10</v>
      </c>
      <c r="F7" s="3">
        <v>94</v>
      </c>
      <c r="G7" s="3">
        <f t="shared" si="0"/>
        <v>4512</v>
      </c>
    </row>
    <row r="8" spans="1:7" x14ac:dyDescent="0.2">
      <c r="A8" s="2" t="s">
        <v>24</v>
      </c>
      <c r="B8" s="2" t="s">
        <v>25</v>
      </c>
      <c r="C8" s="2" t="s">
        <v>26</v>
      </c>
      <c r="D8" s="2">
        <v>105</v>
      </c>
      <c r="E8" s="2" t="s">
        <v>27</v>
      </c>
      <c r="F8" s="3">
        <v>248</v>
      </c>
      <c r="G8" s="3">
        <f t="shared" si="0"/>
        <v>26040</v>
      </c>
    </row>
    <row r="9" spans="1:7" x14ac:dyDescent="0.2">
      <c r="A9" s="2" t="s">
        <v>28</v>
      </c>
      <c r="B9" s="2" t="s">
        <v>29</v>
      </c>
      <c r="C9" s="2" t="s">
        <v>26</v>
      </c>
      <c r="D9" s="2">
        <v>38</v>
      </c>
      <c r="E9" s="2" t="s">
        <v>30</v>
      </c>
      <c r="F9" s="3">
        <v>345</v>
      </c>
      <c r="G9" s="3">
        <f t="shared" si="0"/>
        <v>13110</v>
      </c>
    </row>
    <row r="10" spans="1:7" x14ac:dyDescent="0.2">
      <c r="A10" s="2" t="s">
        <v>31</v>
      </c>
      <c r="B10" s="2" t="s">
        <v>32</v>
      </c>
      <c r="C10" s="2" t="s">
        <v>26</v>
      </c>
      <c r="D10" s="2">
        <v>65</v>
      </c>
      <c r="E10" s="2" t="s">
        <v>33</v>
      </c>
      <c r="F10" s="3">
        <v>44</v>
      </c>
      <c r="G10" s="3">
        <f t="shared" si="0"/>
        <v>2860</v>
      </c>
    </row>
    <row r="11" spans="1:7" x14ac:dyDescent="0.2">
      <c r="A11" s="2" t="s">
        <v>34</v>
      </c>
      <c r="B11" s="2" t="s">
        <v>35</v>
      </c>
      <c r="C11" s="2" t="s">
        <v>36</v>
      </c>
      <c r="D11" s="2">
        <v>28</v>
      </c>
      <c r="E11" s="2" t="s">
        <v>18</v>
      </c>
      <c r="F11" s="3">
        <v>64</v>
      </c>
      <c r="G11" s="3">
        <f t="shared" si="0"/>
        <v>1792</v>
      </c>
    </row>
    <row r="12" spans="1:7" x14ac:dyDescent="0.2">
      <c r="A12" s="2" t="s">
        <v>37</v>
      </c>
      <c r="B12" s="2" t="s">
        <v>38</v>
      </c>
      <c r="C12" s="2" t="s">
        <v>36</v>
      </c>
      <c r="D12" s="2">
        <v>32</v>
      </c>
      <c r="E12" s="2" t="s">
        <v>18</v>
      </c>
      <c r="F12" s="3">
        <v>54</v>
      </c>
      <c r="G12" s="3">
        <f t="shared" si="0"/>
        <v>1728</v>
      </c>
    </row>
    <row r="13" spans="1:7" x14ac:dyDescent="0.2">
      <c r="A13" s="2" t="s">
        <v>39</v>
      </c>
      <c r="B13" s="2" t="s">
        <v>40</v>
      </c>
      <c r="C13" s="2" t="s">
        <v>36</v>
      </c>
      <c r="D13" s="2">
        <v>22</v>
      </c>
      <c r="E13" s="2" t="s">
        <v>18</v>
      </c>
      <c r="F13" s="3">
        <v>178</v>
      </c>
      <c r="G13" s="3">
        <f t="shared" si="0"/>
        <v>3916</v>
      </c>
    </row>
    <row r="14" spans="1:7" x14ac:dyDescent="0.2">
      <c r="A14" s="2" t="s">
        <v>41</v>
      </c>
      <c r="B14" s="2" t="s">
        <v>42</v>
      </c>
      <c r="C14" s="2" t="s">
        <v>36</v>
      </c>
      <c r="D14" s="2">
        <v>155</v>
      </c>
      <c r="E14" s="2" t="s">
        <v>43</v>
      </c>
      <c r="F14" s="3">
        <v>39</v>
      </c>
      <c r="G14" s="3">
        <f t="shared" si="0"/>
        <v>6045</v>
      </c>
    </row>
    <row r="15" spans="1:7" x14ac:dyDescent="0.2">
      <c r="A15" s="2" t="s">
        <v>44</v>
      </c>
      <c r="B15" s="2" t="s">
        <v>45</v>
      </c>
      <c r="C15" s="2" t="s">
        <v>36</v>
      </c>
      <c r="D15" s="2">
        <v>125</v>
      </c>
      <c r="E15" s="2" t="s">
        <v>27</v>
      </c>
      <c r="F15" s="3">
        <v>29</v>
      </c>
      <c r="G15" s="3">
        <f t="shared" si="0"/>
        <v>3625</v>
      </c>
    </row>
    <row r="16" spans="1:7" x14ac:dyDescent="0.2">
      <c r="A16" s="2" t="s">
        <v>46</v>
      </c>
      <c r="B16" s="2" t="s">
        <v>47</v>
      </c>
      <c r="C16" s="2" t="s">
        <v>48</v>
      </c>
      <c r="D16" s="2">
        <v>92</v>
      </c>
      <c r="E16" s="2" t="s">
        <v>49</v>
      </c>
      <c r="F16" s="3">
        <v>19</v>
      </c>
      <c r="G16" s="3">
        <f t="shared" si="0"/>
        <v>1748</v>
      </c>
    </row>
    <row r="17" spans="1:7" x14ac:dyDescent="0.2">
      <c r="A17" s="2" t="s">
        <v>50</v>
      </c>
      <c r="B17" s="2" t="s">
        <v>51</v>
      </c>
      <c r="C17" s="2" t="s">
        <v>48</v>
      </c>
      <c r="D17" s="2">
        <v>12</v>
      </c>
      <c r="E17" s="2" t="s">
        <v>52</v>
      </c>
      <c r="F17" s="3">
        <v>278</v>
      </c>
      <c r="G17" s="3">
        <f t="shared" si="0"/>
        <v>3336</v>
      </c>
    </row>
    <row r="18" spans="1:7" x14ac:dyDescent="0.2">
      <c r="A18" s="2" t="s">
        <v>53</v>
      </c>
      <c r="B18" s="2" t="s">
        <v>54</v>
      </c>
      <c r="C18" s="2" t="s">
        <v>55</v>
      </c>
      <c r="D18" s="2">
        <v>62</v>
      </c>
      <c r="E18" s="2" t="s">
        <v>56</v>
      </c>
      <c r="F18" s="3">
        <v>84</v>
      </c>
      <c r="G18" s="3">
        <f t="shared" si="0"/>
        <v>5208</v>
      </c>
    </row>
    <row r="19" spans="1:7" x14ac:dyDescent="0.2">
      <c r="A19" s="2" t="s">
        <v>57</v>
      </c>
      <c r="B19" s="2" t="s">
        <v>58</v>
      </c>
      <c r="C19" s="2" t="s">
        <v>55</v>
      </c>
      <c r="D19" s="2">
        <v>115</v>
      </c>
      <c r="E19" s="2" t="s">
        <v>59</v>
      </c>
      <c r="F19" s="3">
        <v>49</v>
      </c>
      <c r="G19" s="3">
        <f t="shared" si="0"/>
        <v>5635</v>
      </c>
    </row>
    <row r="20" spans="1:7" x14ac:dyDescent="0.2">
      <c r="A20" s="2" t="s">
        <v>60</v>
      </c>
      <c r="B20" s="2" t="s">
        <v>61</v>
      </c>
      <c r="C20" s="2" t="s">
        <v>36</v>
      </c>
      <c r="D20" s="2">
        <v>42</v>
      </c>
      <c r="E20" s="2" t="s">
        <v>18</v>
      </c>
      <c r="F20" s="3">
        <v>24</v>
      </c>
      <c r="G20" s="3">
        <f t="shared" si="0"/>
        <v>1008</v>
      </c>
    </row>
    <row r="21" spans="1:7" x14ac:dyDescent="0.2">
      <c r="A21" s="2" t="s">
        <v>62</v>
      </c>
      <c r="B21" s="2" t="s">
        <v>63</v>
      </c>
      <c r="C21" s="2" t="s">
        <v>36</v>
      </c>
      <c r="D21" s="2">
        <v>32</v>
      </c>
      <c r="E21" s="2" t="s">
        <v>18</v>
      </c>
      <c r="F21" s="3">
        <v>88</v>
      </c>
      <c r="G21" s="3">
        <f t="shared" si="0"/>
        <v>2816</v>
      </c>
    </row>
    <row r="22" spans="1:7" x14ac:dyDescent="0.2">
      <c r="A22" s="4"/>
      <c r="B22" s="4" t="s">
        <v>64</v>
      </c>
      <c r="C22" s="4"/>
      <c r="D22" s="4"/>
      <c r="E22" s="4"/>
      <c r="F22" s="5"/>
      <c r="G22" s="5">
        <f>SUM(G2:G21)</f>
        <v>107212</v>
      </c>
    </row>
  </sheetData>
  <pageMargins left="0.7" right="0.7" top="0.75" bottom="0.75" header="0.3" footer="0.3"/>
  <pageSetup orientation="landscape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Guadalajara</vt:lpstr>
      <vt:lpstr>Zapopan</vt:lpstr>
      <vt:lpstr>León</vt:lpstr>
      <vt:lpstr>Querétaro</vt:lpstr>
      <vt:lpstr>Aguascalientes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López</cp:lastModifiedBy>
  <cp:lastPrinted>2026-10-20T18:48:12Z</cp:lastPrinted>
  <dcterms:modified xsi:type="dcterms:W3CDTF">2026-10-20T18:48:18Z</dcterms:modified>
</cp:coreProperties>
</file>